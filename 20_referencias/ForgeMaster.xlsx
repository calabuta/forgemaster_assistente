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ven-my.sharepoint.com/personal/joao_solven_com_br/Documents/98 - Pessoal/"/>
    </mc:Choice>
  </mc:AlternateContent>
  <xr:revisionPtr revIDLastSave="686" documentId="8_{87630731-5D31-CA40-B068-E5DD7530C2DD}" xr6:coauthVersionLast="47" xr6:coauthVersionMax="47" xr10:uidLastSave="{7E30E668-8866-BA48-AF20-04F394D89FCB}"/>
  <bookViews>
    <workbookView xWindow="0" yWindow="680" windowWidth="34200" windowHeight="19640" xr2:uid="{7679CD19-AED4-3C40-8E8A-918F575BB245}"/>
  </bookViews>
  <sheets>
    <sheet name="melee" sheetId="2" r:id="rId1"/>
    <sheet name="ranged" sheetId="3" r:id="rId2"/>
  </sheets>
  <definedNames>
    <definedName name="solver_adj" localSheetId="0" hidden="1">melee!$B$30:$B$35</definedName>
    <definedName name="solver_adj" localSheetId="1" hidden="1">ranged!$B$30:$B$35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melee!$B$30:$B$35</definedName>
    <definedName name="solver_lhs1" localSheetId="1" hidden="1">ranged!$B$30:$B$35</definedName>
    <definedName name="solver_lhs2" localSheetId="0" hidden="1">melee!$B$30:$B$35</definedName>
    <definedName name="solver_lhs2" localSheetId="1" hidden="1">ranged!$B$30:$B$35</definedName>
    <definedName name="solver_lhs3" localSheetId="0" hidden="1">melee!$B$32</definedName>
    <definedName name="solver_lhs3" localSheetId="1" hidden="1">ranged!$B$32</definedName>
    <definedName name="solver_lhs4" localSheetId="0" hidden="1">melee!$B$37</definedName>
    <definedName name="solver_lhs4" localSheetId="1" hidden="1">ranged!$B$37</definedName>
    <definedName name="solver_lhs5" localSheetId="0" hidden="1">melee!$B$37</definedName>
    <definedName name="solver_lhs6" localSheetId="0" hidden="1">melee!$B$5:$B$5</definedName>
    <definedName name="solver_lhs7" localSheetId="0" hidden="1">melee!#REF!</definedName>
    <definedName name="solver_lhs8" localSheetId="0" hidden="1">melee!$B$7:$B$7</definedName>
    <definedName name="solver_lhs9" localSheetId="0" hidden="1">melee!$B$8:$B$8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1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opt" localSheetId="0" hidden="1">melee!$E$19</definedName>
    <definedName name="solver_opt" localSheetId="1" hidden="1">ranged!$E$19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4</definedName>
    <definedName name="solver_rel2" localSheetId="1" hidden="1">4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melee!$A$39</definedName>
    <definedName name="solver_rhs1" localSheetId="1" hidden="1">ranged!$A$39</definedName>
    <definedName name="solver_rhs2" localSheetId="0" hidden="1">"integer"</definedName>
    <definedName name="solver_rhs2" localSheetId="1" hidden="1">"integer"</definedName>
    <definedName name="solver_rhs3" localSheetId="0" hidden="1">5</definedName>
    <definedName name="solver_rhs3" localSheetId="1" hidden="1">5</definedName>
    <definedName name="solver_rhs4" localSheetId="0" hidden="1">melee!$A$38</definedName>
    <definedName name="solver_rhs4" localSheetId="1" hidden="1">ranged!$A$38</definedName>
    <definedName name="solver_rhs5" localSheetId="0" hidden="1">melee!$A$38</definedName>
    <definedName name="solver_rhs6" localSheetId="0" hidden="1">melee!$B$20</definedName>
    <definedName name="solver_rhs7" localSheetId="0" hidden="1">melee!$B$21</definedName>
    <definedName name="solver_rhs8" localSheetId="0" hidden="1">melee!$B$22</definedName>
    <definedName name="solver_rhs9" localSheetId="0" hidden="1">melee!$B$24</definedName>
    <definedName name="solver_rlx" localSheetId="0" hidden="1">2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700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0.05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 calcMode="manual" refMode="R1C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C7" i="3" s="1"/>
  <c r="A39" i="3"/>
  <c r="B37" i="3"/>
  <c r="C11" i="3"/>
  <c r="C10" i="3"/>
  <c r="C9" i="3"/>
  <c r="B8" i="3"/>
  <c r="C8" i="3" s="1"/>
  <c r="B6" i="3"/>
  <c r="C6" i="3" s="1"/>
  <c r="B5" i="3"/>
  <c r="C5" i="3" s="1"/>
  <c r="B4" i="3"/>
  <c r="C4" i="3" s="1"/>
  <c r="B3" i="3"/>
  <c r="C3" i="3" s="1"/>
  <c r="B2" i="3"/>
  <c r="C2" i="3" s="1"/>
  <c r="B37" i="2"/>
  <c r="A39" i="2"/>
  <c r="B2" i="2"/>
  <c r="B3" i="2"/>
  <c r="B4" i="2"/>
  <c r="B5" i="2"/>
  <c r="B6" i="2"/>
  <c r="B7" i="2"/>
  <c r="B8" i="2"/>
  <c r="C9" i="2"/>
  <c r="C10" i="2"/>
  <c r="C11" i="2"/>
  <c r="E19" i="3" l="1"/>
  <c r="C4" i="2"/>
  <c r="C5" i="2"/>
  <c r="C3" i="2"/>
  <c r="C6" i="2"/>
  <c r="C7" i="2"/>
  <c r="C2" i="2"/>
  <c r="C8" i="2"/>
  <c r="E19" i="2" l="1"/>
</calcChain>
</file>

<file path=xl/sharedStrings.xml><?xml version="1.0" encoding="utf-8"?>
<sst xmlns="http://schemas.openxmlformats.org/spreadsheetml/2006/main" count="84" uniqueCount="18">
  <si>
    <t>head</t>
  </si>
  <si>
    <t>crit chance</t>
  </si>
  <si>
    <t>crit damage</t>
  </si>
  <si>
    <t>block</t>
  </si>
  <si>
    <t>health regen</t>
  </si>
  <si>
    <t>lifesteal</t>
  </si>
  <si>
    <t>double</t>
  </si>
  <si>
    <t>dmg</t>
  </si>
  <si>
    <t>rngd dmg</t>
  </si>
  <si>
    <t>atk speed</t>
  </si>
  <si>
    <t>skill dmg</t>
  </si>
  <si>
    <t>skill cd</t>
  </si>
  <si>
    <t>health</t>
  </si>
  <si>
    <t>MAX</t>
  </si>
  <si>
    <t>Formula dano</t>
  </si>
  <si>
    <t>melee dmg</t>
  </si>
  <si>
    <t>binary selector (Solver)</t>
  </si>
  <si>
    <t>max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</si>
</sst>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sz val="11"/>
      <color rgb="FF0070C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1D2330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medium">
        <color rgb="FF000000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2" borderId="0" xfId="0" applyFill="1"/>
    <xf numFmtId="9" fontId="0" fillId="2" borderId="0" xfId="1" applyFont="1" applyFill="1"/>
    <xf numFmtId="10" fontId="0" fillId="0" borderId="0" xfId="0" applyNumberFormat="1"/>
    <xf numFmtId="164" fontId="2" fillId="0" borderId="0" xfId="0" applyNumberFormat="1" applyFont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" fontId="4" fillId="5" borderId="3" xfId="0" applyNumberFormat="1" applyFont="1" applyFill="1" applyBorder="1" applyAlignment="1">
      <alignment horizontal="center"/>
    </xf>
    <xf numFmtId="1" fontId="5" fillId="2" borderId="4" xfId="1" applyNumberFormat="1" applyFont="1" applyFill="1" applyBorder="1" applyAlignment="1">
      <alignment horizontal="center"/>
    </xf>
    <xf numFmtId="1" fontId="0" fillId="0" borderId="0" xfId="0" applyNumberFormat="1"/>
    <xf numFmtId="0" fontId="4" fillId="4" borderId="2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B8967E-BAC6-404D-88AF-700C645009C5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ef94629-f20f-4c20-8287-03801290ab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1D86-50D9-BE4A-9DD3-4426747B083A}">
  <dimension ref="A1:T39"/>
  <sheetViews>
    <sheetView tabSelected="1" topLeftCell="A4" workbookViewId="0">
      <selection activeCell="Q19" sqref="Q19"/>
    </sheetView>
  </sheetViews>
  <sheetFormatPr baseColWidth="10" defaultRowHeight="16" x14ac:dyDescent="0.2"/>
  <cols>
    <col min="4" max="4" width="14.33203125" bestFit="1" customWidth="1"/>
    <col min="5" max="5" width="34.6640625" bestFit="1" customWidth="1"/>
  </cols>
  <sheetData>
    <row r="1" spans="1:20" x14ac:dyDescent="0.2">
      <c r="B1" t="s">
        <v>0</v>
      </c>
    </row>
    <row r="2" spans="1:20" s="3" customFormat="1" x14ac:dyDescent="0.2">
      <c r="A2" s="3" t="s">
        <v>1</v>
      </c>
      <c r="B2" s="4">
        <f>$B15*B30</f>
        <v>0.6</v>
      </c>
      <c r="C2" s="4">
        <f>SUM(B2:B2)</f>
        <v>0.6</v>
      </c>
    </row>
    <row r="3" spans="1:20" s="3" customFormat="1" x14ac:dyDescent="0.2">
      <c r="A3" s="3" t="s">
        <v>2</v>
      </c>
      <c r="B3" s="4">
        <f t="shared" ref="B3" si="0">$B16*B31</f>
        <v>4</v>
      </c>
      <c r="C3" s="4">
        <f>0.2+SUM(B3:B3)</f>
        <v>4.2</v>
      </c>
    </row>
    <row r="4" spans="1:20" x14ac:dyDescent="0.2">
      <c r="A4" t="s">
        <v>5</v>
      </c>
      <c r="B4" s="4">
        <f>$B19*B36</f>
        <v>0.4</v>
      </c>
      <c r="C4" s="2">
        <f>1+SUM(B4:B4)</f>
        <v>1.4</v>
      </c>
    </row>
    <row r="5" spans="1:20" s="3" customFormat="1" x14ac:dyDescent="0.2">
      <c r="A5" s="3" t="s">
        <v>6</v>
      </c>
      <c r="B5" s="4">
        <f>$B20*B32</f>
        <v>0.2</v>
      </c>
      <c r="C5" s="4">
        <f>1+SUM(B5:B5)</f>
        <v>1.2</v>
      </c>
    </row>
    <row r="6" spans="1:20" s="3" customFormat="1" x14ac:dyDescent="0.2">
      <c r="A6" s="3" t="s">
        <v>7</v>
      </c>
      <c r="B6" s="4">
        <f>$B21*B33</f>
        <v>0</v>
      </c>
      <c r="C6" s="4">
        <f>1+SUM(B6:B6)</f>
        <v>1</v>
      </c>
    </row>
    <row r="7" spans="1:20" s="3" customFormat="1" x14ac:dyDescent="0.2">
      <c r="A7" s="3" t="s">
        <v>15</v>
      </c>
      <c r="B7" s="4">
        <f>$B22*B34</f>
        <v>2.5</v>
      </c>
      <c r="C7" s="4">
        <f>1+SUM(B7:B7)</f>
        <v>3.5</v>
      </c>
    </row>
    <row r="8" spans="1:20" s="3" customFormat="1" x14ac:dyDescent="0.2">
      <c r="A8" s="3" t="s">
        <v>9</v>
      </c>
      <c r="B8" s="4">
        <f>$B24*B35</f>
        <v>2</v>
      </c>
      <c r="C8" s="4">
        <f>1+SUM(B8:B8)</f>
        <v>3</v>
      </c>
    </row>
    <row r="9" spans="1:20" x14ac:dyDescent="0.2">
      <c r="A9" t="s">
        <v>10</v>
      </c>
      <c r="B9" s="2"/>
      <c r="C9" s="2">
        <f>1+SUM(B9:B9)</f>
        <v>1</v>
      </c>
    </row>
    <row r="10" spans="1:20" x14ac:dyDescent="0.2">
      <c r="A10" t="s">
        <v>11</v>
      </c>
      <c r="B10" s="2"/>
      <c r="C10" s="2">
        <f>1+SUM(B10:B10)</f>
        <v>1</v>
      </c>
    </row>
    <row r="11" spans="1:20" x14ac:dyDescent="0.2">
      <c r="A11" t="s">
        <v>12</v>
      </c>
      <c r="B11" s="2"/>
      <c r="C11" s="2">
        <f>1+SUM(B11:B11)</f>
        <v>1</v>
      </c>
    </row>
    <row r="12" spans="1:20" x14ac:dyDescent="0.2">
      <c r="B12" s="11"/>
      <c r="E12" s="6"/>
      <c r="K12">
        <v>6</v>
      </c>
      <c r="L12">
        <v>8</v>
      </c>
      <c r="M12">
        <v>10</v>
      </c>
      <c r="N12">
        <v>12</v>
      </c>
      <c r="P12">
        <v>16</v>
      </c>
      <c r="Q12">
        <v>18</v>
      </c>
      <c r="R12">
        <v>20</v>
      </c>
      <c r="S12">
        <v>22</v>
      </c>
      <c r="T12">
        <v>24</v>
      </c>
    </row>
    <row r="13" spans="1:20" x14ac:dyDescent="0.2">
      <c r="J13" t="s">
        <v>1</v>
      </c>
      <c r="K13" s="2"/>
      <c r="L13" s="2"/>
      <c r="M13" s="2"/>
      <c r="N13" s="10">
        <v>0</v>
      </c>
      <c r="O13" s="2"/>
      <c r="P13" s="2"/>
      <c r="Q13" s="10">
        <v>0</v>
      </c>
      <c r="R13" s="10">
        <v>0</v>
      </c>
      <c r="S13" s="10">
        <v>5</v>
      </c>
      <c r="T13" s="10">
        <v>5</v>
      </c>
    </row>
    <row r="14" spans="1:20" x14ac:dyDescent="0.2">
      <c r="B14" t="s">
        <v>13</v>
      </c>
      <c r="J14" t="s">
        <v>2</v>
      </c>
      <c r="K14" s="2"/>
      <c r="L14" s="2"/>
      <c r="M14" s="2"/>
      <c r="N14" s="10">
        <v>0</v>
      </c>
      <c r="O14" s="2"/>
      <c r="P14" s="2"/>
      <c r="Q14" s="10">
        <v>0</v>
      </c>
      <c r="R14" s="10">
        <v>0</v>
      </c>
      <c r="S14" s="10">
        <v>4</v>
      </c>
      <c r="T14" s="10">
        <v>5</v>
      </c>
    </row>
    <row r="15" spans="1:20" x14ac:dyDescent="0.2">
      <c r="A15" t="s">
        <v>1</v>
      </c>
      <c r="B15" s="1">
        <v>0.12</v>
      </c>
      <c r="J15" t="s">
        <v>6</v>
      </c>
      <c r="K15" s="2"/>
      <c r="L15" s="2"/>
      <c r="M15" s="2"/>
      <c r="N15" s="10">
        <v>2</v>
      </c>
      <c r="O15" s="2"/>
      <c r="P15" s="2"/>
      <c r="Q15" s="10">
        <v>3</v>
      </c>
      <c r="R15" s="10">
        <v>3</v>
      </c>
      <c r="S15" s="10">
        <v>2</v>
      </c>
      <c r="T15" s="10">
        <v>2</v>
      </c>
    </row>
    <row r="16" spans="1:20" x14ac:dyDescent="0.2">
      <c r="A16" t="s">
        <v>2</v>
      </c>
      <c r="B16" s="2">
        <v>0.8</v>
      </c>
      <c r="J16" t="s">
        <v>7</v>
      </c>
      <c r="K16" s="2"/>
      <c r="L16" s="2"/>
      <c r="M16" s="2"/>
      <c r="N16" s="10">
        <v>0</v>
      </c>
      <c r="O16" s="2"/>
      <c r="P16" s="2"/>
      <c r="Q16" s="10">
        <v>1</v>
      </c>
      <c r="R16" s="10">
        <v>2</v>
      </c>
      <c r="S16" s="10">
        <v>0</v>
      </c>
      <c r="T16" s="10">
        <v>0</v>
      </c>
    </row>
    <row r="17" spans="1:20" x14ac:dyDescent="0.2">
      <c r="A17" t="s">
        <v>3</v>
      </c>
      <c r="B17" s="2">
        <v>0.05</v>
      </c>
      <c r="J17" t="s">
        <v>15</v>
      </c>
      <c r="K17" s="2"/>
      <c r="L17" s="2"/>
      <c r="M17" s="2"/>
      <c r="N17" s="10">
        <v>4</v>
      </c>
      <c r="O17" s="2"/>
      <c r="P17" s="2"/>
      <c r="Q17" s="10">
        <v>6</v>
      </c>
      <c r="R17" s="10">
        <v>7</v>
      </c>
      <c r="S17" s="10">
        <v>5</v>
      </c>
      <c r="T17" s="10">
        <v>5</v>
      </c>
    </row>
    <row r="18" spans="1:20" x14ac:dyDescent="0.2">
      <c r="A18" t="s">
        <v>4</v>
      </c>
      <c r="B18" s="2">
        <v>0.04</v>
      </c>
      <c r="J18" t="s">
        <v>9</v>
      </c>
      <c r="K18" s="2"/>
      <c r="L18" s="2"/>
      <c r="M18" s="2"/>
      <c r="N18" s="10">
        <v>4</v>
      </c>
      <c r="O18" s="2"/>
      <c r="P18" s="2"/>
      <c r="Q18" s="10">
        <v>6</v>
      </c>
      <c r="R18" s="10">
        <v>6</v>
      </c>
      <c r="S18" s="10">
        <v>4</v>
      </c>
      <c r="T18" s="10">
        <v>5</v>
      </c>
    </row>
    <row r="19" spans="1:20" x14ac:dyDescent="0.2">
      <c r="A19" t="s">
        <v>5</v>
      </c>
      <c r="B19" s="2">
        <v>0.2</v>
      </c>
      <c r="D19" t="s">
        <v>14</v>
      </c>
      <c r="E19" s="5">
        <f>C6*C7*C8*C5*(1+C2*C3)</f>
        <v>44.351999999999997</v>
      </c>
      <c r="K19" s="2"/>
      <c r="L19" s="2"/>
      <c r="M19" s="2"/>
      <c r="N19" s="5">
        <v>10.92</v>
      </c>
      <c r="O19" s="2"/>
      <c r="P19" s="2"/>
      <c r="Q19" s="5">
        <v>25.024000000000001</v>
      </c>
      <c r="R19" s="5">
        <v>31.824000000000009</v>
      </c>
      <c r="S19" s="5">
        <v>38.729599999999998</v>
      </c>
      <c r="T19" s="5">
        <v>51.744</v>
      </c>
    </row>
    <row r="20" spans="1:20" x14ac:dyDescent="0.2">
      <c r="A20" t="s">
        <v>6</v>
      </c>
      <c r="B20" s="2">
        <v>0.2</v>
      </c>
      <c r="E20" s="15"/>
    </row>
    <row r="21" spans="1:20" x14ac:dyDescent="0.2">
      <c r="A21" t="s">
        <v>7</v>
      </c>
      <c r="B21" s="2">
        <v>0.15</v>
      </c>
    </row>
    <row r="22" spans="1:20" x14ac:dyDescent="0.2">
      <c r="A22" t="s">
        <v>15</v>
      </c>
      <c r="B22" s="2">
        <v>0.5</v>
      </c>
    </row>
    <row r="23" spans="1:20" x14ac:dyDescent="0.2">
      <c r="A23" t="s">
        <v>8</v>
      </c>
      <c r="B23" s="2">
        <v>0.15</v>
      </c>
    </row>
    <row r="24" spans="1:20" x14ac:dyDescent="0.2">
      <c r="A24" t="s">
        <v>9</v>
      </c>
      <c r="B24" s="2">
        <v>0.4</v>
      </c>
    </row>
    <row r="25" spans="1:20" x14ac:dyDescent="0.2">
      <c r="A25" t="s">
        <v>10</v>
      </c>
      <c r="B25" s="2">
        <v>0.3</v>
      </c>
    </row>
    <row r="26" spans="1:20" x14ac:dyDescent="0.2">
      <c r="A26" t="s">
        <v>11</v>
      </c>
      <c r="B26" s="2">
        <v>7.0000000000000007E-2</v>
      </c>
    </row>
    <row r="27" spans="1:20" x14ac:dyDescent="0.2">
      <c r="A27" t="s">
        <v>12</v>
      </c>
      <c r="B27" s="2">
        <v>0.15</v>
      </c>
    </row>
    <row r="29" spans="1:20" ht="17" thickBot="1" x14ac:dyDescent="0.25">
      <c r="A29" s="7" t="s">
        <v>16</v>
      </c>
      <c r="B29" s="7" t="s">
        <v>0</v>
      </c>
    </row>
    <row r="30" spans="1:20" ht="17" thickTop="1" x14ac:dyDescent="0.2">
      <c r="A30" s="13" t="s">
        <v>1</v>
      </c>
      <c r="B30" s="10">
        <v>5</v>
      </c>
    </row>
    <row r="31" spans="1:20" x14ac:dyDescent="0.2">
      <c r="A31" s="8" t="s">
        <v>2</v>
      </c>
      <c r="B31" s="10">
        <v>5</v>
      </c>
    </row>
    <row r="32" spans="1:20" x14ac:dyDescent="0.2">
      <c r="A32" s="8" t="s">
        <v>6</v>
      </c>
      <c r="B32" s="10">
        <v>1</v>
      </c>
      <c r="C32" s="11"/>
    </row>
    <row r="33" spans="1:2" x14ac:dyDescent="0.2">
      <c r="A33" s="8" t="s">
        <v>7</v>
      </c>
      <c r="B33" s="10">
        <v>0</v>
      </c>
    </row>
    <row r="34" spans="1:2" x14ac:dyDescent="0.2">
      <c r="A34" s="8" t="s">
        <v>15</v>
      </c>
      <c r="B34" s="10">
        <v>5</v>
      </c>
    </row>
    <row r="35" spans="1:2" x14ac:dyDescent="0.2">
      <c r="A35" s="12" t="s">
        <v>9</v>
      </c>
      <c r="B35" s="10">
        <v>5</v>
      </c>
    </row>
    <row r="36" spans="1:2" x14ac:dyDescent="0.2">
      <c r="A36" s="8" t="s">
        <v>5</v>
      </c>
      <c r="B36" s="10">
        <v>2</v>
      </c>
    </row>
    <row r="37" spans="1:2" ht="17" thickBot="1" x14ac:dyDescent="0.25">
      <c r="A37" s="14" t="s">
        <v>17</v>
      </c>
      <c r="B37" s="11">
        <f>SUM(B30:B36)</f>
        <v>23</v>
      </c>
    </row>
    <row r="38" spans="1:2" x14ac:dyDescent="0.2">
      <c r="A38" s="9">
        <v>24</v>
      </c>
      <c r="B38" s="9"/>
    </row>
    <row r="39" spans="1:2" x14ac:dyDescent="0.2">
      <c r="A39">
        <f>A38/2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1EB2-6BF1-544F-A0D2-524DEABB33A5}">
  <dimension ref="A1:T39"/>
  <sheetViews>
    <sheetView topLeftCell="C2" workbookViewId="0">
      <selection activeCell="L33" sqref="L33"/>
    </sheetView>
  </sheetViews>
  <sheetFormatPr baseColWidth="10" defaultRowHeight="16" x14ac:dyDescent="0.2"/>
  <cols>
    <col min="4" max="4" width="14.33203125" bestFit="1" customWidth="1"/>
    <col min="5" max="5" width="34.6640625" bestFit="1" customWidth="1"/>
  </cols>
  <sheetData>
    <row r="1" spans="1:20" x14ac:dyDescent="0.2">
      <c r="B1" t="s">
        <v>0</v>
      </c>
    </row>
    <row r="2" spans="1:20" s="3" customFormat="1" x14ac:dyDescent="0.2">
      <c r="A2" s="3" t="s">
        <v>1</v>
      </c>
      <c r="B2" s="4">
        <f>$B15*B30</f>
        <v>0.72343703487602684</v>
      </c>
      <c r="C2" s="4">
        <f>SUM(B2:B2)</f>
        <v>0.72343703487602684</v>
      </c>
    </row>
    <row r="3" spans="1:20" s="3" customFormat="1" x14ac:dyDescent="0.2">
      <c r="A3" s="3" t="s">
        <v>2</v>
      </c>
      <c r="B3" s="4">
        <f t="shared" ref="B3" si="0">$B16*B31</f>
        <v>4.622878829126396</v>
      </c>
      <c r="C3" s="4">
        <f>0.2+SUM(B3:B3)</f>
        <v>4.8228788291263962</v>
      </c>
    </row>
    <row r="4" spans="1:20" x14ac:dyDescent="0.2">
      <c r="A4" t="s">
        <v>5</v>
      </c>
      <c r="B4" s="4">
        <f>$B19*B36</f>
        <v>0.4</v>
      </c>
      <c r="C4" s="2">
        <f>1+SUM(B4:B4)</f>
        <v>1.4</v>
      </c>
    </row>
    <row r="5" spans="1:20" s="3" customFormat="1" x14ac:dyDescent="0.2">
      <c r="A5" s="3" t="s">
        <v>6</v>
      </c>
      <c r="B5" s="4">
        <f>$B20*B32</f>
        <v>0.55130588493464594</v>
      </c>
      <c r="C5" s="4">
        <f>1+SUM(B5:B5)</f>
        <v>1.5513058849346459</v>
      </c>
    </row>
    <row r="6" spans="1:20" s="3" customFormat="1" x14ac:dyDescent="0.2">
      <c r="A6" s="3" t="s">
        <v>7</v>
      </c>
      <c r="B6" s="4">
        <f>$B21*B33</f>
        <v>0.16350031412140117</v>
      </c>
      <c r="C6" s="4">
        <f>1+SUM(B6:B6)</f>
        <v>1.1635003141214011</v>
      </c>
    </row>
    <row r="7" spans="1:20" s="3" customFormat="1" x14ac:dyDescent="0.2">
      <c r="A7" s="3" t="s">
        <v>8</v>
      </c>
      <c r="B7" s="4">
        <f>$B23*B34</f>
        <v>0.16345212692962804</v>
      </c>
      <c r="C7" s="4">
        <f>1+SUM(B7:B7)</f>
        <v>1.1634521269296281</v>
      </c>
    </row>
    <row r="8" spans="1:20" s="3" customFormat="1" x14ac:dyDescent="0.2">
      <c r="A8" s="3" t="s">
        <v>9</v>
      </c>
      <c r="B8" s="4">
        <f>$B24*B35</f>
        <v>2.1026188565113428</v>
      </c>
      <c r="C8" s="4">
        <f>1+SUM(B8:B8)</f>
        <v>3.1026188565113428</v>
      </c>
    </row>
    <row r="9" spans="1:20" x14ac:dyDescent="0.2">
      <c r="A9" t="s">
        <v>10</v>
      </c>
      <c r="B9" s="2"/>
      <c r="C9" s="2">
        <f>1+SUM(B9:B9)</f>
        <v>1</v>
      </c>
    </row>
    <row r="10" spans="1:20" x14ac:dyDescent="0.2">
      <c r="A10" t="s">
        <v>11</v>
      </c>
      <c r="B10" s="2"/>
      <c r="C10" s="2">
        <f>1+SUM(B10:B10)</f>
        <v>1</v>
      </c>
    </row>
    <row r="11" spans="1:20" x14ac:dyDescent="0.2">
      <c r="A11" t="s">
        <v>12</v>
      </c>
      <c r="B11" s="2"/>
      <c r="C11" s="2">
        <f>1+SUM(B11:B11)</f>
        <v>1</v>
      </c>
    </row>
    <row r="12" spans="1:20" x14ac:dyDescent="0.2">
      <c r="B12" s="11"/>
      <c r="E12" s="6"/>
      <c r="K12">
        <v>6</v>
      </c>
      <c r="L12">
        <v>8</v>
      </c>
      <c r="M12">
        <v>10</v>
      </c>
      <c r="N12">
        <v>12</v>
      </c>
      <c r="P12">
        <v>16</v>
      </c>
      <c r="Q12">
        <v>18</v>
      </c>
      <c r="R12">
        <v>20</v>
      </c>
      <c r="S12">
        <v>22</v>
      </c>
      <c r="T12">
        <v>24</v>
      </c>
    </row>
    <row r="13" spans="1:20" x14ac:dyDescent="0.2">
      <c r="J13" t="s">
        <v>1</v>
      </c>
      <c r="K13" s="2"/>
      <c r="L13" s="2"/>
      <c r="M13" s="2"/>
      <c r="N13" s="10"/>
      <c r="O13" s="2"/>
      <c r="P13" s="2"/>
      <c r="Q13" s="10"/>
      <c r="R13" s="10"/>
      <c r="S13" s="10"/>
      <c r="T13" s="10">
        <v>6.0284230702562134</v>
      </c>
    </row>
    <row r="14" spans="1:20" x14ac:dyDescent="0.2">
      <c r="B14" t="s">
        <v>13</v>
      </c>
      <c r="J14" t="s">
        <v>2</v>
      </c>
      <c r="K14" s="2"/>
      <c r="L14" s="2"/>
      <c r="M14" s="2"/>
      <c r="N14" s="10"/>
      <c r="O14" s="2"/>
      <c r="P14" s="2"/>
      <c r="Q14" s="10"/>
      <c r="R14" s="10"/>
      <c r="S14" s="10"/>
      <c r="T14" s="10">
        <v>5.7794726320117658</v>
      </c>
    </row>
    <row r="15" spans="1:20" x14ac:dyDescent="0.2">
      <c r="A15" t="s">
        <v>1</v>
      </c>
      <c r="B15" s="1">
        <v>0.12</v>
      </c>
      <c r="J15" t="s">
        <v>6</v>
      </c>
      <c r="K15" s="2"/>
      <c r="L15" s="2"/>
      <c r="M15" s="2"/>
      <c r="N15" s="10"/>
      <c r="O15" s="2"/>
      <c r="P15" s="2"/>
      <c r="Q15" s="10"/>
      <c r="R15" s="10"/>
      <c r="S15" s="10"/>
      <c r="T15" s="10">
        <v>2.7566510020902721</v>
      </c>
    </row>
    <row r="16" spans="1:20" x14ac:dyDescent="0.2">
      <c r="A16" t="s">
        <v>2</v>
      </c>
      <c r="B16" s="2">
        <v>0.8</v>
      </c>
      <c r="J16" t="s">
        <v>7</v>
      </c>
      <c r="K16" s="2"/>
      <c r="L16" s="2"/>
      <c r="M16" s="2"/>
      <c r="N16" s="10"/>
      <c r="O16" s="2"/>
      <c r="P16" s="2"/>
      <c r="Q16" s="10"/>
      <c r="R16" s="10"/>
      <c r="S16" s="10"/>
      <c r="T16" s="10">
        <v>1.0892105947867803</v>
      </c>
    </row>
    <row r="17" spans="1:20" x14ac:dyDescent="0.2">
      <c r="A17" t="s">
        <v>3</v>
      </c>
      <c r="B17" s="2">
        <v>0.05</v>
      </c>
      <c r="J17" t="s">
        <v>15</v>
      </c>
      <c r="K17" s="2"/>
      <c r="L17" s="2"/>
      <c r="M17" s="2"/>
      <c r="N17" s="10"/>
      <c r="O17" s="2"/>
      <c r="P17" s="2"/>
      <c r="Q17" s="10"/>
      <c r="R17" s="10"/>
      <c r="S17" s="10"/>
      <c r="T17" s="10">
        <v>1.0901293652912531</v>
      </c>
    </row>
    <row r="18" spans="1:20" x14ac:dyDescent="0.2">
      <c r="A18" t="s">
        <v>4</v>
      </c>
      <c r="B18" s="2">
        <v>0.04</v>
      </c>
      <c r="J18" t="s">
        <v>9</v>
      </c>
      <c r="K18" s="2"/>
      <c r="L18" s="2"/>
      <c r="M18" s="2"/>
      <c r="N18" s="10"/>
      <c r="O18" s="2"/>
      <c r="P18" s="2"/>
      <c r="Q18" s="10"/>
      <c r="R18" s="10"/>
      <c r="S18" s="10"/>
      <c r="T18" s="10">
        <v>5.2561133355637137</v>
      </c>
    </row>
    <row r="19" spans="1:20" x14ac:dyDescent="0.2">
      <c r="A19" t="s">
        <v>5</v>
      </c>
      <c r="B19" s="2">
        <v>0.2</v>
      </c>
      <c r="D19" t="s">
        <v>14</v>
      </c>
      <c r="E19" s="5">
        <f>C6*C7*C8*C5*(1+C2*C3)</f>
        <v>29.247937890141436</v>
      </c>
      <c r="K19" s="2"/>
      <c r="L19" s="2"/>
      <c r="M19" s="2"/>
      <c r="T19" s="5">
        <v>29.247937540238585</v>
      </c>
    </row>
    <row r="20" spans="1:20" x14ac:dyDescent="0.2">
      <c r="A20" t="s">
        <v>6</v>
      </c>
      <c r="B20" s="2">
        <v>0.2</v>
      </c>
      <c r="E20" s="15"/>
      <c r="N20" s="5">
        <v>10.92</v>
      </c>
      <c r="O20" s="2"/>
      <c r="P20" s="2"/>
      <c r="Q20" s="5">
        <v>25.024000000000001</v>
      </c>
      <c r="R20" s="5">
        <v>31.824000000000009</v>
      </c>
      <c r="S20" s="5">
        <v>38.729599999999998</v>
      </c>
      <c r="T20" s="5">
        <v>51.744</v>
      </c>
    </row>
    <row r="21" spans="1:20" x14ac:dyDescent="0.2">
      <c r="A21" t="s">
        <v>7</v>
      </c>
      <c r="B21" s="2">
        <v>0.15</v>
      </c>
    </row>
    <row r="22" spans="1:20" x14ac:dyDescent="0.2">
      <c r="A22" t="s">
        <v>15</v>
      </c>
      <c r="B22" s="2">
        <v>0.5</v>
      </c>
    </row>
    <row r="23" spans="1:20" x14ac:dyDescent="0.2">
      <c r="A23" t="s">
        <v>8</v>
      </c>
      <c r="B23" s="2">
        <v>0.15</v>
      </c>
    </row>
    <row r="24" spans="1:20" x14ac:dyDescent="0.2">
      <c r="A24" t="s">
        <v>9</v>
      </c>
      <c r="B24" s="2">
        <v>0.4</v>
      </c>
    </row>
    <row r="25" spans="1:20" x14ac:dyDescent="0.2">
      <c r="A25" t="s">
        <v>10</v>
      </c>
      <c r="B25" s="2">
        <v>0.3</v>
      </c>
    </row>
    <row r="26" spans="1:20" x14ac:dyDescent="0.2">
      <c r="A26" t="s">
        <v>11</v>
      </c>
      <c r="B26" s="2">
        <v>7.0000000000000007E-2</v>
      </c>
    </row>
    <row r="27" spans="1:20" x14ac:dyDescent="0.2">
      <c r="A27" t="s">
        <v>12</v>
      </c>
      <c r="B27" s="2">
        <v>0.15</v>
      </c>
    </row>
    <row r="29" spans="1:20" ht="17" thickBot="1" x14ac:dyDescent="0.25">
      <c r="A29" s="7" t="s">
        <v>16</v>
      </c>
      <c r="B29" s="7" t="s">
        <v>0</v>
      </c>
    </row>
    <row r="30" spans="1:20" ht="17" thickTop="1" x14ac:dyDescent="0.2">
      <c r="A30" s="13" t="s">
        <v>1</v>
      </c>
      <c r="B30" s="10">
        <v>6.0286419573002243</v>
      </c>
    </row>
    <row r="31" spans="1:20" x14ac:dyDescent="0.2">
      <c r="A31" s="8" t="s">
        <v>2</v>
      </c>
      <c r="B31" s="10">
        <v>5.778598536407995</v>
      </c>
    </row>
    <row r="32" spans="1:20" x14ac:dyDescent="0.2">
      <c r="A32" s="8" t="s">
        <v>6</v>
      </c>
      <c r="B32" s="10">
        <v>2.7565294246732295</v>
      </c>
      <c r="C32" s="11"/>
    </row>
    <row r="33" spans="1:2" x14ac:dyDescent="0.2">
      <c r="A33" s="8" t="s">
        <v>7</v>
      </c>
      <c r="B33" s="10">
        <v>1.0900020941426745</v>
      </c>
    </row>
    <row r="34" spans="1:2" x14ac:dyDescent="0.2">
      <c r="A34" s="8" t="s">
        <v>8</v>
      </c>
      <c r="B34" s="10">
        <v>1.0896808461975203</v>
      </c>
    </row>
    <row r="35" spans="1:2" x14ac:dyDescent="0.2">
      <c r="A35" s="12" t="s">
        <v>9</v>
      </c>
      <c r="B35" s="10">
        <v>5.2565471412783564</v>
      </c>
    </row>
    <row r="36" spans="1:2" x14ac:dyDescent="0.2">
      <c r="A36" s="8" t="s">
        <v>5</v>
      </c>
      <c r="B36" s="10">
        <v>2</v>
      </c>
    </row>
    <row r="37" spans="1:2" ht="17" thickBot="1" x14ac:dyDescent="0.25">
      <c r="A37" s="14" t="s">
        <v>17</v>
      </c>
      <c r="B37" s="11">
        <f>SUM(B30:B36)</f>
        <v>24</v>
      </c>
    </row>
    <row r="38" spans="1:2" x14ac:dyDescent="0.2">
      <c r="A38" s="9">
        <v>24</v>
      </c>
      <c r="B38" s="9"/>
    </row>
    <row r="39" spans="1:2" x14ac:dyDescent="0.2">
      <c r="A39">
        <f>A38/2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melee</vt:lpstr>
      <vt:lpstr>ranged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Degrandi Moreira</dc:creator>
  <cp:lastModifiedBy>João Vitor Degrandi Moreira</cp:lastModifiedBy>
  <dcterms:created xsi:type="dcterms:W3CDTF">2026-08-12T17:31:21Z</dcterms:created>
  <dcterms:modified xsi:type="dcterms:W3CDTF">2026-08-13T03:28:31Z</dcterms:modified>
</cp:coreProperties>
</file>